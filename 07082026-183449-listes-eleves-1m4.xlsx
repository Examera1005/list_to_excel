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/>
  <mc:AlternateContent xmlns:mc="http://schemas.openxmlformats.org/markup-compatibility/2006">
    <mc:Choice Requires="x15">
      <x15ac:absPath xmlns:x15ac="http://schemas.microsoft.com/office/spreadsheetml/2010/11/ac" url="/Users/nancy/Downloads/"/>
    </mc:Choice>
  </mc:AlternateContent>
  <xr:revisionPtr revIDLastSave="0" documentId="13_ncr:1_{E229B29A-CF17-FA42-B174-C7A03D30264C}" xr6:coauthVersionLast="47" xr6:coauthVersionMax="47" xr10:uidLastSave="{00000000-0000-0000-0000-000000000000}"/>
  <bookViews>
    <workbookView xWindow="0" yWindow="600" windowWidth="35840" windowHeight="20000" xr2:uid="{00000000-000D-0000-FFFF-FFFF00000000}"/>
  </bookViews>
  <sheets>
    <sheet name="Group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7" i="1" l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7" i="1"/>
</calcChain>
</file>

<file path=xl/sharedStrings.xml><?xml version="1.0" encoding="utf-8"?>
<sst xmlns="http://schemas.openxmlformats.org/spreadsheetml/2006/main" count="154" uniqueCount="86">
  <si>
    <t>Gymnase du Bugnon</t>
  </si>
  <si>
    <t>Année scolaire</t>
  </si>
  <si>
    <t>2026-2027</t>
  </si>
  <si>
    <t>Date de création</t>
  </si>
  <si>
    <t>Genre</t>
  </si>
  <si>
    <t>Nom</t>
  </si>
  <si>
    <t>Prénom</t>
  </si>
  <si>
    <t>Groupe</t>
  </si>
  <si>
    <t>Mails</t>
  </si>
  <si>
    <t>Date de naissance</t>
  </si>
  <si>
    <t>Enclassement</t>
  </si>
  <si>
    <t>Statut</t>
  </si>
  <si>
    <t>Séjour</t>
  </si>
  <si>
    <t>m</t>
  </si>
  <si>
    <t>Arcan</t>
  </si>
  <si>
    <t>Danny</t>
  </si>
  <si>
    <t>1M4</t>
  </si>
  <si>
    <t>danny.arcan@eduvaud.ch</t>
  </si>
  <si>
    <t>1MS2,1M4,1MAL2,1MMU1</t>
  </si>
  <si>
    <t>Re</t>
  </si>
  <si>
    <t>Bajrami</t>
  </si>
  <si>
    <t>Etahn</t>
  </si>
  <si>
    <t>etahn.bajrami@eduvaud.ch</t>
  </si>
  <si>
    <t>1MS2,1M4,1MITD1,1MMU1</t>
  </si>
  <si>
    <t>Betzi</t>
  </si>
  <si>
    <t>Ilan</t>
  </si>
  <si>
    <t>ilan.betzi@eduvaud.ch</t>
  </si>
  <si>
    <t>Blum</t>
  </si>
  <si>
    <t>Elia Emmanuel</t>
  </si>
  <si>
    <t>elia.blum@eduvaud.ch</t>
  </si>
  <si>
    <t>1M4,1MAL2,1MR1,1MAV1</t>
  </si>
  <si>
    <t>Do</t>
  </si>
  <si>
    <t>f</t>
  </si>
  <si>
    <t>Coelho Cardoso</t>
  </si>
  <si>
    <t>Leonor</t>
  </si>
  <si>
    <t>leonor.coelho1@eduvaud.ch</t>
  </si>
  <si>
    <t>Cohen</t>
  </si>
  <si>
    <t>Shyrel</t>
  </si>
  <si>
    <t>shyrel.cohen@eduvaud.ch</t>
  </si>
  <si>
    <t>1MS2,1M4,1MAL2,1MAV1</t>
  </si>
  <si>
    <t>Dumauthioz</t>
  </si>
  <si>
    <t>Raphaël</t>
  </si>
  <si>
    <t>raphael.dumauthioz@eduvaud.ch</t>
  </si>
  <si>
    <t>Fauquex</t>
  </si>
  <si>
    <t>Eline</t>
  </si>
  <si>
    <t>eline.fauquex@eduvaud.ch</t>
  </si>
  <si>
    <t>Foussat Cissoko</t>
  </si>
  <si>
    <t>Kandara</t>
  </si>
  <si>
    <t>kandara.foussat@eduvaud.ch</t>
  </si>
  <si>
    <t>1MS2,1M4,1MITD1,1MAV1</t>
  </si>
  <si>
    <t>Fracheboud</t>
  </si>
  <si>
    <t>Rafael</t>
  </si>
  <si>
    <t>rafael.fracheboud@eduvaud.ch</t>
  </si>
  <si>
    <t>Frison</t>
  </si>
  <si>
    <t>Kim</t>
  </si>
  <si>
    <t>kim.frison@eduvaud.ch</t>
  </si>
  <si>
    <t>Kraft Da Luz</t>
  </si>
  <si>
    <t>Albrecht</t>
  </si>
  <si>
    <t>albrecht.kraft@eduvaud.ch</t>
  </si>
  <si>
    <t>1MS2,1M4,1MAL1,1MMU1</t>
  </si>
  <si>
    <t>Medjmadj</t>
  </si>
  <si>
    <t>Serine-Yara</t>
  </si>
  <si>
    <t>serine-yara.medjmadj@eduvaud.ch</t>
  </si>
  <si>
    <t>1M4,1MITD1,1MR1,1MMU1</t>
  </si>
  <si>
    <t>Porchet</t>
  </si>
  <si>
    <t>Kylian</t>
  </si>
  <si>
    <t>kylian.porchet@eduvaud.ch</t>
  </si>
  <si>
    <t>Ramadani</t>
  </si>
  <si>
    <t>Zekeriya</t>
  </si>
  <si>
    <t>zekeriya.ramadani@eduvaud.ch</t>
  </si>
  <si>
    <t>Roubakine</t>
  </si>
  <si>
    <t>Joulan Sejong</t>
  </si>
  <si>
    <t>joulan.roubakine@eduvaud.ch</t>
  </si>
  <si>
    <t>Rozenblum</t>
  </si>
  <si>
    <t>Dan</t>
  </si>
  <si>
    <t>dan.rozenblum@eduvaud.ch</t>
  </si>
  <si>
    <t>Schnorf</t>
  </si>
  <si>
    <t>Yanis</t>
  </si>
  <si>
    <t>yanis.schnorf@eduvaud.ch</t>
  </si>
  <si>
    <t>Somsaath</t>
  </si>
  <si>
    <t>Noélia</t>
  </si>
  <si>
    <t>noelia.somsaath@eduvaud.ch</t>
  </si>
  <si>
    <t>Visinand</t>
  </si>
  <si>
    <t>Jonas</t>
  </si>
  <si>
    <t>jonas.visinand@eduvaud.ch</t>
  </si>
  <si>
    <t>1MS2,1M4,1MITS1,1MAV1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</si>
</sst>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:mm:ss"/>
    <numFmt numFmtId="165" formatCode="yyyy\-mm\-dd"/>
  </numFmts>
  <fonts count="3" x14ac:knownFonts="1">
    <font>
      <sz val="11"/>
      <color theme="1"/>
      <name val="Calibri"/>
      <family val="2"/>
      <scheme val="minor"/>
    </font>
    <font>
      <b/>
      <sz val="14"/>
      <name val="Calibri"/>
      <family val="2"/>
    </font>
    <font>
      <b/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164" fontId="2" fillId="0" borderId="0" xfId="0" applyNumberFormat="1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6"/>
  <sheetViews>
    <sheetView tabSelected="1" zoomScale="173" zoomScaleNormal="173" workbookViewId="0">
      <selection activeCell="K8" sqref="K8"/>
    </sheetView>
  </sheetViews>
  <sheetFormatPr baseColWidth="10" defaultColWidth="8.83203125" defaultRowHeight="15" x14ac:dyDescent="0.2"/>
  <cols>
    <col min="10" max="10" width="21.83203125" customWidth="1"/>
  </cols>
  <sheetData>
    <row r="1" spans="1:11" ht="19" x14ac:dyDescent="0.25">
      <c r="A1" s="1" t="s">
        <v>0</v>
      </c>
    </row>
    <row r="2" spans="1:11" ht="16" x14ac:dyDescent="0.2">
      <c r="A2" s="2" t="s">
        <v>1</v>
      </c>
      <c r="B2" s="2" t="s">
        <v>2</v>
      </c>
    </row>
    <row r="3" spans="1:11" ht="16" x14ac:dyDescent="0.2">
      <c r="A3" s="2" t="s">
        <v>3</v>
      </c>
      <c r="B3" s="3">
        <v>46241.774184425929</v>
      </c>
    </row>
    <row r="5" spans="1:11" ht="16" x14ac:dyDescent="0.2">
      <c r="A5" s="2" t="s">
        <v>4</v>
      </c>
      <c r="B5" s="2" t="s">
        <v>5</v>
      </c>
      <c r="C5" s="2" t="s">
        <v>6</v>
      </c>
      <c r="D5" s="2" t="s">
        <v>7</v>
      </c>
      <c r="E5" s="2" t="s">
        <v>8</v>
      </c>
      <c r="F5" s="2" t="s">
        <v>9</v>
      </c>
      <c r="G5" s="2" t="s">
        <v>10</v>
      </c>
      <c r="H5" s="2" t="s">
        <v>11</v>
      </c>
      <c r="I5" s="2" t="s">
        <v>12</v>
      </c>
    </row>
    <row r="6" spans="1:11" x14ac:dyDescent="0.2">
      <c r="A6" t="s">
        <v>0</v>
      </c>
    </row>
    <row r="7" spans="1:11" x14ac:dyDescent="0.2">
      <c r="A7" t="s">
        <v>13</v>
      </c>
      <c r="B7" t="s">
        <v>14</v>
      </c>
      <c r="C7" t="s">
        <v>15</v>
      </c>
      <c r="D7" t="s">
        <v>16</v>
      </c>
      <c r="E7" t="s">
        <v>17</v>
      </c>
      <c r="F7" s="4">
        <v>40675</v>
      </c>
      <c r="G7" t="s">
        <v>18</v>
      </c>
      <c r="H7" t="s">
        <v>19</v>
      </c>
      <c r="J7" t="str">
        <f>D7&amp;" "&amp;B7&amp;" "&amp;C7</f>
        <v>1M4 Arcan Danny</v>
      </c>
      <c r="K7" t="str">
        <f>_xlfn.VALUETOTEXT(J7,1)</f>
        <v>"1M4 Arcan Danny"</v>
      </c>
    </row>
    <row r="8" spans="1:11" x14ac:dyDescent="0.2">
      <c r="A8" t="s">
        <v>13</v>
      </c>
      <c r="B8" t="s">
        <v>20</v>
      </c>
      <c r="C8" t="s">
        <v>21</v>
      </c>
      <c r="D8" t="s">
        <v>16</v>
      </c>
      <c r="E8" t="s">
        <v>22</v>
      </c>
      <c r="F8" s="4">
        <v>40644</v>
      </c>
      <c r="G8" t="s">
        <v>23</v>
      </c>
      <c r="H8" t="s">
        <v>19</v>
      </c>
      <c r="J8" t="str">
        <f t="shared" ref="J8:J26" si="0">D8&amp;" "&amp;B8&amp;" "&amp;C8</f>
        <v>1M4 Bajrami Etahn</v>
      </c>
    </row>
    <row r="9" spans="1:11" x14ac:dyDescent="0.2">
      <c r="A9" t="s">
        <v>13</v>
      </c>
      <c r="B9" t="s">
        <v>24</v>
      </c>
      <c r="C9" t="s">
        <v>25</v>
      </c>
      <c r="D9" t="s">
        <v>16</v>
      </c>
      <c r="E9" t="s">
        <v>26</v>
      </c>
      <c r="F9" s="4">
        <v>40396</v>
      </c>
      <c r="G9" t="s">
        <v>18</v>
      </c>
      <c r="H9" t="s">
        <v>19</v>
      </c>
      <c r="J9" t="str">
        <f t="shared" si="0"/>
        <v>1M4 Betzi Ilan</v>
      </c>
    </row>
    <row r="10" spans="1:11" x14ac:dyDescent="0.2">
      <c r="A10" t="s">
        <v>13</v>
      </c>
      <c r="B10" t="s">
        <v>27</v>
      </c>
      <c r="C10" t="s">
        <v>28</v>
      </c>
      <c r="D10" t="s">
        <v>16</v>
      </c>
      <c r="E10" t="s">
        <v>29</v>
      </c>
      <c r="F10" s="4">
        <v>40520</v>
      </c>
      <c r="G10" t="s">
        <v>30</v>
      </c>
      <c r="H10" t="s">
        <v>31</v>
      </c>
      <c r="J10" t="str">
        <f t="shared" si="0"/>
        <v>1M4 Blum Elia Emmanuel</v>
      </c>
    </row>
    <row r="11" spans="1:11" x14ac:dyDescent="0.2">
      <c r="A11" t="s">
        <v>32</v>
      </c>
      <c r="B11" t="s">
        <v>33</v>
      </c>
      <c r="C11" t="s">
        <v>34</v>
      </c>
      <c r="D11" t="s">
        <v>16</v>
      </c>
      <c r="E11" t="s">
        <v>35</v>
      </c>
      <c r="F11" s="4">
        <v>40176</v>
      </c>
      <c r="G11" t="s">
        <v>18</v>
      </c>
      <c r="H11" t="s">
        <v>19</v>
      </c>
      <c r="J11" t="str">
        <f t="shared" si="0"/>
        <v>1M4 Coelho Cardoso Leonor</v>
      </c>
    </row>
    <row r="12" spans="1:11" x14ac:dyDescent="0.2">
      <c r="A12" t="s">
        <v>32</v>
      </c>
      <c r="B12" t="s">
        <v>36</v>
      </c>
      <c r="C12" t="s">
        <v>37</v>
      </c>
      <c r="D12" t="s">
        <v>16</v>
      </c>
      <c r="E12" t="s">
        <v>38</v>
      </c>
      <c r="F12" s="4">
        <v>40199</v>
      </c>
      <c r="G12" t="s">
        <v>39</v>
      </c>
      <c r="H12" t="s">
        <v>19</v>
      </c>
      <c r="J12" t="str">
        <f t="shared" si="0"/>
        <v>1M4 Cohen Shyrel</v>
      </c>
    </row>
    <row r="13" spans="1:11" x14ac:dyDescent="0.2">
      <c r="A13" t="s">
        <v>13</v>
      </c>
      <c r="B13" t="s">
        <v>40</v>
      </c>
      <c r="C13" t="s">
        <v>41</v>
      </c>
      <c r="D13" t="s">
        <v>16</v>
      </c>
      <c r="E13" t="s">
        <v>42</v>
      </c>
      <c r="F13" s="4">
        <v>40632</v>
      </c>
      <c r="G13" t="s">
        <v>18</v>
      </c>
      <c r="H13" t="s">
        <v>19</v>
      </c>
      <c r="J13" t="str">
        <f t="shared" si="0"/>
        <v>1M4 Dumauthioz Raphaël</v>
      </c>
    </row>
    <row r="14" spans="1:11" x14ac:dyDescent="0.2">
      <c r="A14" t="s">
        <v>32</v>
      </c>
      <c r="B14" t="s">
        <v>43</v>
      </c>
      <c r="C14" t="s">
        <v>44</v>
      </c>
      <c r="D14" t="s">
        <v>16</v>
      </c>
      <c r="E14" t="s">
        <v>45</v>
      </c>
      <c r="F14" s="4">
        <v>40583</v>
      </c>
      <c r="G14" t="s">
        <v>18</v>
      </c>
      <c r="H14" t="s">
        <v>19</v>
      </c>
      <c r="J14" t="str">
        <f t="shared" si="0"/>
        <v>1M4 Fauquex Eline</v>
      </c>
    </row>
    <row r="15" spans="1:11" x14ac:dyDescent="0.2">
      <c r="A15" t="s">
        <v>13</v>
      </c>
      <c r="B15" t="s">
        <v>46</v>
      </c>
      <c r="C15" t="s">
        <v>47</v>
      </c>
      <c r="D15" t="s">
        <v>16</v>
      </c>
      <c r="E15" t="s">
        <v>48</v>
      </c>
      <c r="F15" s="4">
        <v>40599</v>
      </c>
      <c r="G15" t="s">
        <v>49</v>
      </c>
      <c r="H15" t="s">
        <v>31</v>
      </c>
      <c r="J15" t="str">
        <f t="shared" si="0"/>
        <v>1M4 Foussat Cissoko Kandara</v>
      </c>
    </row>
    <row r="16" spans="1:11" x14ac:dyDescent="0.2">
      <c r="A16" t="s">
        <v>13</v>
      </c>
      <c r="B16" t="s">
        <v>50</v>
      </c>
      <c r="C16" t="s">
        <v>51</v>
      </c>
      <c r="D16" t="s">
        <v>16</v>
      </c>
      <c r="E16" t="s">
        <v>52</v>
      </c>
      <c r="F16" s="4">
        <v>40513</v>
      </c>
      <c r="G16" t="s">
        <v>23</v>
      </c>
      <c r="H16" t="s">
        <v>19</v>
      </c>
      <c r="J16" t="str">
        <f t="shared" si="0"/>
        <v>1M4 Fracheboud Rafael</v>
      </c>
    </row>
    <row r="17" spans="1:10" x14ac:dyDescent="0.2">
      <c r="A17" t="s">
        <v>32</v>
      </c>
      <c r="B17" t="s">
        <v>53</v>
      </c>
      <c r="C17" t="s">
        <v>54</v>
      </c>
      <c r="D17" t="s">
        <v>16</v>
      </c>
      <c r="E17" t="s">
        <v>55</v>
      </c>
      <c r="F17" s="4">
        <v>40679</v>
      </c>
      <c r="G17" t="s">
        <v>18</v>
      </c>
      <c r="H17" t="s">
        <v>19</v>
      </c>
      <c r="J17" t="str">
        <f t="shared" si="0"/>
        <v>1M4 Frison Kim</v>
      </c>
    </row>
    <row r="18" spans="1:10" x14ac:dyDescent="0.2">
      <c r="A18" t="s">
        <v>13</v>
      </c>
      <c r="B18" t="s">
        <v>56</v>
      </c>
      <c r="C18" t="s">
        <v>57</v>
      </c>
      <c r="D18" t="s">
        <v>16</v>
      </c>
      <c r="E18" t="s">
        <v>58</v>
      </c>
      <c r="F18" s="4">
        <v>39106</v>
      </c>
      <c r="G18" t="s">
        <v>59</v>
      </c>
      <c r="H18" t="s">
        <v>19</v>
      </c>
      <c r="J18" t="str">
        <f t="shared" si="0"/>
        <v>1M4 Kraft Da Luz Albrecht</v>
      </c>
    </row>
    <row r="19" spans="1:10" x14ac:dyDescent="0.2">
      <c r="A19" t="s">
        <v>32</v>
      </c>
      <c r="B19" t="s">
        <v>60</v>
      </c>
      <c r="C19" t="s">
        <v>61</v>
      </c>
      <c r="D19" t="s">
        <v>16</v>
      </c>
      <c r="E19" t="s">
        <v>62</v>
      </c>
      <c r="F19" s="4">
        <v>40693</v>
      </c>
      <c r="G19" t="s">
        <v>63</v>
      </c>
      <c r="H19" t="s">
        <v>19</v>
      </c>
      <c r="J19" t="str">
        <f t="shared" si="0"/>
        <v>1M4 Medjmadj Serine-Yara</v>
      </c>
    </row>
    <row r="20" spans="1:10" x14ac:dyDescent="0.2">
      <c r="A20" t="s">
        <v>13</v>
      </c>
      <c r="B20" t="s">
        <v>64</v>
      </c>
      <c r="C20" t="s">
        <v>65</v>
      </c>
      <c r="D20" t="s">
        <v>16</v>
      </c>
      <c r="E20" t="s">
        <v>66</v>
      </c>
      <c r="F20" s="4">
        <v>40418</v>
      </c>
      <c r="G20" t="s">
        <v>49</v>
      </c>
      <c r="H20" t="s">
        <v>19</v>
      </c>
      <c r="J20" t="str">
        <f t="shared" si="0"/>
        <v>1M4 Porchet Kylian</v>
      </c>
    </row>
    <row r="21" spans="1:10" x14ac:dyDescent="0.2">
      <c r="A21" t="s">
        <v>13</v>
      </c>
      <c r="B21" t="s">
        <v>67</v>
      </c>
      <c r="C21" t="s">
        <v>68</v>
      </c>
      <c r="D21" t="s">
        <v>16</v>
      </c>
      <c r="E21" t="s">
        <v>69</v>
      </c>
      <c r="F21" s="4">
        <v>40350</v>
      </c>
      <c r="G21" t="s">
        <v>18</v>
      </c>
      <c r="H21" t="s">
        <v>31</v>
      </c>
      <c r="J21" t="str">
        <f t="shared" si="0"/>
        <v>1M4 Ramadani Zekeriya</v>
      </c>
    </row>
    <row r="22" spans="1:10" x14ac:dyDescent="0.2">
      <c r="A22" t="s">
        <v>13</v>
      </c>
      <c r="B22" t="s">
        <v>70</v>
      </c>
      <c r="C22" t="s">
        <v>71</v>
      </c>
      <c r="D22" t="s">
        <v>16</v>
      </c>
      <c r="E22" t="s">
        <v>72</v>
      </c>
      <c r="F22" s="4">
        <v>40675</v>
      </c>
      <c r="G22" t="s">
        <v>18</v>
      </c>
      <c r="H22" t="s">
        <v>19</v>
      </c>
      <c r="J22" t="str">
        <f t="shared" si="0"/>
        <v>1M4 Roubakine Joulan Sejong</v>
      </c>
    </row>
    <row r="23" spans="1:10" x14ac:dyDescent="0.2">
      <c r="A23" t="s">
        <v>13</v>
      </c>
      <c r="B23" t="s">
        <v>73</v>
      </c>
      <c r="C23" t="s">
        <v>74</v>
      </c>
      <c r="D23" t="s">
        <v>16</v>
      </c>
      <c r="E23" t="s">
        <v>75</v>
      </c>
      <c r="F23" s="4">
        <v>40741</v>
      </c>
      <c r="G23" t="s">
        <v>18</v>
      </c>
      <c r="H23" t="s">
        <v>19</v>
      </c>
      <c r="J23" t="str">
        <f t="shared" si="0"/>
        <v>1M4 Rozenblum Dan</v>
      </c>
    </row>
    <row r="24" spans="1:10" x14ac:dyDescent="0.2">
      <c r="A24" t="s">
        <v>13</v>
      </c>
      <c r="B24" t="s">
        <v>76</v>
      </c>
      <c r="C24" t="s">
        <v>77</v>
      </c>
      <c r="D24" t="s">
        <v>16</v>
      </c>
      <c r="E24" t="s">
        <v>78</v>
      </c>
      <c r="F24" s="4">
        <v>40464</v>
      </c>
      <c r="G24" t="s">
        <v>39</v>
      </c>
      <c r="H24" t="s">
        <v>19</v>
      </c>
      <c r="J24" t="str">
        <f t="shared" si="0"/>
        <v>1M4 Schnorf Yanis</v>
      </c>
    </row>
    <row r="25" spans="1:10" x14ac:dyDescent="0.2">
      <c r="A25" t="s">
        <v>32</v>
      </c>
      <c r="B25" t="s">
        <v>79</v>
      </c>
      <c r="C25" t="s">
        <v>80</v>
      </c>
      <c r="D25" t="s">
        <v>16</v>
      </c>
      <c r="E25" t="s">
        <v>81</v>
      </c>
      <c r="F25" s="4">
        <v>40635</v>
      </c>
      <c r="G25" t="s">
        <v>18</v>
      </c>
      <c r="H25" t="s">
        <v>19</v>
      </c>
      <c r="J25" t="str">
        <f t="shared" si="0"/>
        <v>1M4 Somsaath Noélia</v>
      </c>
    </row>
    <row r="26" spans="1:10" x14ac:dyDescent="0.2">
      <c r="A26" t="s">
        <v>13</v>
      </c>
      <c r="B26" t="s">
        <v>82</v>
      </c>
      <c r="C26" t="s">
        <v>83</v>
      </c>
      <c r="D26" t="s">
        <v>16</v>
      </c>
      <c r="E26" t="s">
        <v>84</v>
      </c>
      <c r="F26" s="4">
        <v>40616</v>
      </c>
      <c r="G26" t="s">
        <v>85</v>
      </c>
      <c r="H26" t="s">
        <v>19</v>
      </c>
      <c r="J26" t="str">
        <f t="shared" si="0"/>
        <v>1M4 Visinand Jonas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Groupes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Nancy Geiser</cp:lastModifiedBy>
  <dcterms:created xsi:type="dcterms:W3CDTF">2026-08-07T16:34:49Z</dcterms:created>
  <dcterms:modified xsi:type="dcterms:W3CDTF">2026-08-07T16:37:27Z</dcterms:modified>
</cp:coreProperties>
</file>